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Field recall by clas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<sst xmlns="http://schemas.openxmlformats.org/spreadsheetml/2006/main" count="53" uniqueCount="46">
  <si>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Plant Disease Model Accuracy Report</t>
  </si>
  <si>
    <t xml:space="preserve">Explainability Audit of Plant Disease Classifiers · Amogh Narendra Mulik · 3 models × 2 training modes, 30 epochs each</t>
  </si>
  <si>
    <t xml:space="preserve">Model</t>
  </si>
  <si>
    <t xml:space="preserve">Training</t>
  </si>
  <si>
    <t xml:space="preserve">Best epoch</t>
  </si>
  <si>
    <t xml:space="preserve">Lab acc. (%)</t>
  </si>
  <si>
    <t xml:space="preserve">95% CI low (%)</t>
  </si>
  <si>
    <t xml:space="preserve">95% CI high (%)</t>
  </si>
  <si>
    <t xml:space="preserve">Macro-F1 (%)</t>
  </si>
  <si>
    <t xml:space="preserve">LFS</t>
  </si>
  <si>
    <t xml:space="preserve">BG-only acc. (%)</t>
  </si>
  <si>
    <t xml:space="preserve">Mixed-Rand acc. (%)</t>
  </si>
  <si>
    <t xml:space="preserve">Shortcut gap (pts)</t>
  </si>
  <si>
    <t xml:space="preserve">Field acc. (%)</t>
  </si>
  <si>
    <t xml:space="preserve">Field macro-F1 (%)</t>
  </si>
  <si>
    <t xml:space="preserve">ResNet-50</t>
  </si>
  <si>
    <t xml:space="preserve">Baseline</t>
  </si>
  <si>
    <t xml:space="preserve">BG-Suppress</t>
  </si>
  <si>
    <t xml:space="preserve">EfficientNet-B0</t>
  </si>
  <si>
    <t xml:space="preserve">ViT-S/16</t>
  </si>
  <si>
    <t xml:space="preserve">Average (6 runs)</t>
  </si>
  <si>
    <t xml:space="preserve">Notes</t>
  </si>
  <si>
    <t xml:space="preserve">Source: results/results.csv written by evaluate.py on the laptop (lab test = 2,724 PlantVillage images; field = 744 PlantDoc images, 8 classes). Blue = values from that file; black = formulas.</t>
  </si>
  <si>
    <t xml:space="preserve">Shortcut gap = Lab acc. − Mixed-Rand acc. (column K is a formula). Green-shaded rows are BG-Suppress runs.</t>
  </si>
  <si>
    <t xml:space="preserve">LFS = share of Grad-CAM attention on the leaf mask (1.0 = all on leaf; a uniform map scores 0.517). BG-only acc. = accuracy with the leaf removed (chance 10%).</t>
  </si>
  <si>
    <t xml:space="preserve">Field majority-class baseline = 20.3%; uniform chance = 12.5%. 95% CIs are from 1,000 bootstrap resamples.</t>
  </si>
  <si>
    <t xml:space="preserve">Each run used one training seed (42). ResNet-50 baseline became unstable at epoch 14; its epoch-9 checkpoint is reported.</t>
  </si>
  <si>
    <t xml:space="preserve">PlantDoc field recall per class (%)</t>
  </si>
  <si>
    <t xml:space="preserve">Class</t>
  </si>
  <si>
    <t xml:space="preserve">Images</t>
  </si>
  <si>
    <t xml:space="preserve">ResNet-50 Baseline</t>
  </si>
  <si>
    <t xml:space="preserve">ResNet-50 BG-Suppress</t>
  </si>
  <si>
    <t xml:space="preserve">EfficientNet-B0 Baseline</t>
  </si>
  <si>
    <t xml:space="preserve">EfficientNet-B0 BG-Suppress</t>
  </si>
  <si>
    <t xml:space="preserve">ViT-S/16 Baseline</t>
  </si>
  <si>
    <t xml:space="preserve">ViT-S/16 BG-Suppress</t>
  </si>
  <si>
    <t xml:space="preserve">Bacterial spot</t>
  </si>
  <si>
    <t xml:space="preserve">Early blight</t>
  </si>
  <si>
    <t xml:space="preserve">Late blight</t>
  </si>
  <si>
    <t xml:space="preserve">Leaf mold</t>
  </si>
  <si>
    <t xml:space="preserve">Septoria leaf spot</t>
  </si>
  <si>
    <t xml:space="preserve">Yellow leaf curl virus</t>
  </si>
  <si>
    <t xml:space="preserve">Mosaic virus</t>
  </si>
  <si>
    <t xml:space="preserve">Healthy</t>
  </si>
  <si>
    <t xml:space="preserve">Total images</t>
  </si>
  <si>
    <t xml:space="preserve">Source: field confusion matrices saved by evaluate.py (field_confusion.npy), as reported in Table 8 of the paper.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</si>
</sst>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00"/>
    <numFmt numFmtId="168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D3A"/>
        <bgColor rgb="FF555555"/>
      </patternFill>
    </fill>
    <fill>
      <patternFill patternType="solid">
        <fgColor rgb="FFEAF4E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AF4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2F5D3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11" min="9" style="0" width="13"/>
    <col collapsed="false" customWidth="true" hidden="false" outlineLevel="0" max="12" min="12" style="0" width="11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4" t="s">
        <v>16</v>
      </c>
      <c r="C5" s="5" t="n">
        <v>9</v>
      </c>
      <c r="D5" s="6" t="n">
        <v>99.229</v>
      </c>
      <c r="E5" s="6" t="n">
        <v>98.862</v>
      </c>
      <c r="F5" s="6" t="n">
        <v>99.523</v>
      </c>
      <c r="G5" s="6" t="n">
        <v>98.99</v>
      </c>
      <c r="H5" s="7" t="n">
        <v>0.905</v>
      </c>
      <c r="I5" s="6" t="n">
        <v>22.21</v>
      </c>
      <c r="J5" s="6" t="n">
        <v>95.962</v>
      </c>
      <c r="K5" s="8" t="n">
        <f aca="false">D5-J5</f>
        <v>3.267</v>
      </c>
      <c r="L5" s="6" t="n">
        <v>28.629</v>
      </c>
      <c r="M5" s="6" t="n">
        <v>19.241</v>
      </c>
    </row>
    <row r="6" customFormat="false" ht="15" hidden="false" customHeight="false" outlineLevel="0" collapsed="false">
      <c r="A6" s="9" t="s">
        <v>15</v>
      </c>
      <c r="B6" s="9" t="s">
        <v>17</v>
      </c>
      <c r="C6" s="10" t="n">
        <v>24</v>
      </c>
      <c r="D6" s="11" t="n">
        <v>99.192</v>
      </c>
      <c r="E6" s="11" t="n">
        <v>98.825</v>
      </c>
      <c r="F6" s="11" t="n">
        <v>99.523</v>
      </c>
      <c r="G6" s="11" t="n">
        <v>98.94</v>
      </c>
      <c r="H6" s="12" t="n">
        <v>0.994</v>
      </c>
      <c r="I6" s="11" t="n">
        <v>13.546</v>
      </c>
      <c r="J6" s="11" t="n">
        <v>99.119</v>
      </c>
      <c r="K6" s="13" t="n">
        <f aca="false">D6-J6</f>
        <v>0.0729999999999933</v>
      </c>
      <c r="L6" s="11" t="n">
        <v>28.629</v>
      </c>
      <c r="M6" s="11" t="n">
        <v>20.22</v>
      </c>
    </row>
    <row r="7" customFormat="false" ht="15" hidden="false" customHeight="false" outlineLevel="0" collapsed="false">
      <c r="A7" s="4" t="s">
        <v>18</v>
      </c>
      <c r="B7" s="4" t="s">
        <v>16</v>
      </c>
      <c r="C7" s="5" t="n">
        <v>27</v>
      </c>
      <c r="D7" s="6" t="n">
        <v>99.816</v>
      </c>
      <c r="E7" s="6" t="n">
        <v>99.633</v>
      </c>
      <c r="F7" s="6" t="n">
        <v>99.963</v>
      </c>
      <c r="G7" s="6" t="n">
        <v>99.781</v>
      </c>
      <c r="H7" s="7" t="n">
        <v>0.839</v>
      </c>
      <c r="I7" s="6" t="n">
        <v>24.046</v>
      </c>
      <c r="J7" s="6" t="n">
        <v>87.518</v>
      </c>
      <c r="K7" s="8" t="n">
        <f aca="false">D7-J7</f>
        <v>12.298</v>
      </c>
      <c r="L7" s="6" t="n">
        <v>25.269</v>
      </c>
      <c r="M7" s="6" t="n">
        <v>16.101</v>
      </c>
    </row>
    <row r="8" customFormat="false" ht="15" hidden="false" customHeight="false" outlineLevel="0" collapsed="false">
      <c r="A8" s="9" t="s">
        <v>18</v>
      </c>
      <c r="B8" s="9" t="s">
        <v>17</v>
      </c>
      <c r="C8" s="10" t="n">
        <v>21</v>
      </c>
      <c r="D8" s="11" t="n">
        <v>99.596</v>
      </c>
      <c r="E8" s="11" t="n">
        <v>99.339</v>
      </c>
      <c r="F8" s="11" t="n">
        <v>99.816</v>
      </c>
      <c r="G8" s="11" t="n">
        <v>99.504</v>
      </c>
      <c r="H8" s="12" t="n">
        <v>0.985</v>
      </c>
      <c r="I8" s="11" t="n">
        <v>12.518</v>
      </c>
      <c r="J8" s="11" t="n">
        <v>99.302</v>
      </c>
      <c r="K8" s="13" t="n">
        <f aca="false">D8-J8</f>
        <v>0.293999999999997</v>
      </c>
      <c r="L8" s="11" t="n">
        <v>25.806</v>
      </c>
      <c r="M8" s="11" t="n">
        <v>19.41</v>
      </c>
    </row>
    <row r="9" customFormat="false" ht="15" hidden="false" customHeight="false" outlineLevel="0" collapsed="false">
      <c r="A9" s="4" t="s">
        <v>19</v>
      </c>
      <c r="B9" s="4" t="s">
        <v>16</v>
      </c>
      <c r="C9" s="5" t="n">
        <v>26</v>
      </c>
      <c r="D9" s="6" t="n">
        <v>99.853</v>
      </c>
      <c r="E9" s="6" t="n">
        <v>99.67</v>
      </c>
      <c r="F9" s="6" t="n">
        <v>99.963</v>
      </c>
      <c r="G9" s="6" t="n">
        <v>99.842</v>
      </c>
      <c r="H9" s="7" t="n">
        <v>0.602</v>
      </c>
      <c r="I9" s="6" t="n">
        <v>27.863</v>
      </c>
      <c r="J9" s="6" t="n">
        <v>86.05</v>
      </c>
      <c r="K9" s="8" t="n">
        <f aca="false">D9-J9</f>
        <v>13.803</v>
      </c>
      <c r="L9" s="6" t="n">
        <v>26.478</v>
      </c>
      <c r="M9" s="6" t="n">
        <v>18.684</v>
      </c>
    </row>
    <row r="10" customFormat="false" ht="15" hidden="false" customHeight="false" outlineLevel="0" collapsed="false">
      <c r="A10" s="9" t="s">
        <v>19</v>
      </c>
      <c r="B10" s="9" t="s">
        <v>17</v>
      </c>
      <c r="C10" s="10" t="n">
        <v>21</v>
      </c>
      <c r="D10" s="11" t="n">
        <v>99.486</v>
      </c>
      <c r="E10" s="11" t="n">
        <v>99.192</v>
      </c>
      <c r="F10" s="11" t="n">
        <v>99.743</v>
      </c>
      <c r="G10" s="11" t="n">
        <v>99.462</v>
      </c>
      <c r="H10" s="12" t="n">
        <v>0.981</v>
      </c>
      <c r="I10" s="11" t="n">
        <v>5.984</v>
      </c>
      <c r="J10" s="11" t="n">
        <v>99.192</v>
      </c>
      <c r="K10" s="13" t="n">
        <f aca="false">D10-J10</f>
        <v>0.294000000000011</v>
      </c>
      <c r="L10" s="11" t="n">
        <v>28.495</v>
      </c>
      <c r="M10" s="11" t="n">
        <v>20.827</v>
      </c>
    </row>
    <row r="11" customFormat="false" ht="15" hidden="false" customHeight="false" outlineLevel="0" collapsed="false">
      <c r="A11" s="14" t="s">
        <v>20</v>
      </c>
      <c r="B11" s="15"/>
      <c r="C11" s="16"/>
      <c r="D11" s="17" t="n">
        <f aca="false">AVERAGE(D5:D10)</f>
        <v>99.5286666666667</v>
      </c>
      <c r="E11" s="17" t="n">
        <f aca="false">AVERAGE(E5:E10)</f>
        <v>99.2535</v>
      </c>
      <c r="F11" s="17" t="n">
        <f aca="false">AVERAGE(F5:F10)</f>
        <v>99.7551666666667</v>
      </c>
      <c r="G11" s="17" t="n">
        <f aca="false">AVERAGE(G5:G10)</f>
        <v>99.4198333333333</v>
      </c>
      <c r="H11" s="18" t="n">
        <f aca="false">AVERAGE(H5:H10)</f>
        <v>0.884333333333333</v>
      </c>
      <c r="I11" s="17" t="n">
        <f aca="false">AVERAGE(I5:I10)</f>
        <v>17.6945</v>
      </c>
      <c r="J11" s="17" t="n">
        <f aca="false">AVERAGE(J5:J10)</f>
        <v>94.5238333333333</v>
      </c>
      <c r="K11" s="17" t="n">
        <f aca="false">AVERAGE(K5:K10)</f>
        <v>5.00483333333333</v>
      </c>
      <c r="L11" s="17" t="n">
        <f aca="false">AVERAGE(L5:L10)</f>
        <v>27.2176666666667</v>
      </c>
      <c r="M11" s="17" t="n">
        <f aca="false">AVERAGE(M5:M10)</f>
        <v>19.0805</v>
      </c>
    </row>
    <row r="13" customFormat="false" ht="15" hidden="false" customHeight="false" outlineLevel="0" collapsed="false">
      <c r="A13" s="19" t="s">
        <v>21</v>
      </c>
    </row>
    <row r="14" customFormat="false" ht="15" hidden="false" customHeight="false" outlineLevel="0" collapsed="false">
      <c r="A14" s="20" t="s">
        <v>22</v>
      </c>
    </row>
    <row r="15" customFormat="false" ht="15" hidden="false" customHeight="false" outlineLevel="0" collapsed="false">
      <c r="A15" s="20" t="s">
        <v>23</v>
      </c>
    </row>
    <row r="16" customFormat="false" ht="15" hidden="false" customHeight="false" outlineLevel="0" collapsed="false">
      <c r="A16" s="20" t="s">
        <v>24</v>
      </c>
    </row>
    <row r="17" customFormat="false" ht="15" hidden="false" customHeight="false" outlineLevel="0" collapsed="false">
      <c r="A17" s="20" t="s">
        <v>25</v>
      </c>
    </row>
    <row r="18" customFormat="false" ht="15" hidden="false" customHeight="false" outlineLevel="0" collapsed="false">
      <c r="A18" s="2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4" min="3" style="0" width="14"/>
    <col collapsed="false" customWidth="true" hidden="false" outlineLevel="0" max="6" min="5" style="0" width="15"/>
    <col collapsed="false" customWidth="true" hidden="false" outlineLevel="0" max="8" min="7" style="0" width="14"/>
  </cols>
  <sheetData>
    <row r="1" customFormat="false" ht="16.15" hidden="false" customHeight="false" outlineLevel="0" collapsed="false">
      <c r="A1" s="21" t="s">
        <v>27</v>
      </c>
    </row>
    <row r="3" customFormat="false" ht="31.5" hidden="false" customHeight="true" outlineLevel="0" collapsed="false">
      <c r="A3" s="22" t="s">
        <v>28</v>
      </c>
      <c r="B3" s="22" t="s">
        <v>29</v>
      </c>
      <c r="C3" s="22" t="s">
        <v>30</v>
      </c>
      <c r="D3" s="22" t="s">
        <v>31</v>
      </c>
      <c r="E3" s="22" t="s">
        <v>32</v>
      </c>
      <c r="F3" s="22" t="s">
        <v>33</v>
      </c>
      <c r="G3" s="22" t="s">
        <v>34</v>
      </c>
      <c r="H3" s="22" t="s">
        <v>35</v>
      </c>
    </row>
    <row r="4" customFormat="false" ht="15" hidden="false" customHeight="false" outlineLevel="0" collapsed="false">
      <c r="A4" s="23" t="s">
        <v>36</v>
      </c>
      <c r="B4" s="24" t="n">
        <v>110</v>
      </c>
      <c r="C4" s="25" t="n">
        <v>0.9</v>
      </c>
      <c r="D4" s="25" t="n">
        <v>4.5</v>
      </c>
      <c r="E4" s="25" t="n">
        <v>0.9</v>
      </c>
      <c r="F4" s="25" t="n">
        <v>1.8</v>
      </c>
      <c r="G4" s="25" t="n">
        <v>4.5</v>
      </c>
      <c r="H4" s="25" t="n">
        <v>13.6</v>
      </c>
    </row>
    <row r="5" customFormat="false" ht="15" hidden="false" customHeight="false" outlineLevel="0" collapsed="false">
      <c r="A5" s="23" t="s">
        <v>37</v>
      </c>
      <c r="B5" s="24" t="n">
        <v>88</v>
      </c>
      <c r="C5" s="25" t="n">
        <v>64.8</v>
      </c>
      <c r="D5" s="25" t="n">
        <v>37.5</v>
      </c>
      <c r="E5" s="25" t="n">
        <v>48.9</v>
      </c>
      <c r="F5" s="25" t="n">
        <v>54.5</v>
      </c>
      <c r="G5" s="25" t="n">
        <v>62.5</v>
      </c>
      <c r="H5" s="25" t="n">
        <v>67</v>
      </c>
    </row>
    <row r="6" customFormat="false" ht="15" hidden="false" customHeight="false" outlineLevel="0" collapsed="false">
      <c r="A6" s="23" t="s">
        <v>38</v>
      </c>
      <c r="B6" s="24" t="n">
        <v>111</v>
      </c>
      <c r="C6" s="25" t="n">
        <v>77.5</v>
      </c>
      <c r="D6" s="25" t="n">
        <v>84.7</v>
      </c>
      <c r="E6" s="25" t="n">
        <v>85.6</v>
      </c>
      <c r="F6" s="25" t="n">
        <v>80.2</v>
      </c>
      <c r="G6" s="25" t="n">
        <v>79.3</v>
      </c>
      <c r="H6" s="25" t="n">
        <v>72.1</v>
      </c>
    </row>
    <row r="7" customFormat="false" ht="15" hidden="false" customHeight="false" outlineLevel="0" collapsed="false">
      <c r="A7" s="23" t="s">
        <v>39</v>
      </c>
      <c r="B7" s="24" t="n">
        <v>91</v>
      </c>
      <c r="C7" s="25" t="n">
        <v>4.4</v>
      </c>
      <c r="D7" s="25" t="n">
        <v>2.2</v>
      </c>
      <c r="E7" s="25" t="n">
        <v>0</v>
      </c>
      <c r="F7" s="25" t="n">
        <v>3.3</v>
      </c>
      <c r="G7" s="25" t="n">
        <v>7.7</v>
      </c>
      <c r="H7" s="25" t="n">
        <v>1.1</v>
      </c>
    </row>
    <row r="8" customFormat="false" ht="15" hidden="false" customHeight="false" outlineLevel="0" collapsed="false">
      <c r="A8" s="23" t="s">
        <v>40</v>
      </c>
      <c r="B8" s="24" t="n">
        <v>151</v>
      </c>
      <c r="C8" s="25" t="n">
        <v>33.1</v>
      </c>
      <c r="D8" s="25" t="n">
        <v>41.1</v>
      </c>
      <c r="E8" s="25" t="n">
        <v>21.2</v>
      </c>
      <c r="F8" s="25" t="n">
        <v>13.9</v>
      </c>
      <c r="G8" s="25" t="n">
        <v>18.5</v>
      </c>
      <c r="H8" s="25" t="n">
        <v>26.5</v>
      </c>
    </row>
    <row r="9" customFormat="false" ht="15" hidden="false" customHeight="false" outlineLevel="0" collapsed="false">
      <c r="A9" s="23" t="s">
        <v>41</v>
      </c>
      <c r="B9" s="24" t="n">
        <v>76</v>
      </c>
      <c r="C9" s="25" t="n">
        <v>14.5</v>
      </c>
      <c r="D9" s="25" t="n">
        <v>2.6</v>
      </c>
      <c r="E9" s="25" t="n">
        <v>21.1</v>
      </c>
      <c r="F9" s="25" t="n">
        <v>28.9</v>
      </c>
      <c r="G9" s="25" t="n">
        <v>11.8</v>
      </c>
      <c r="H9" s="25" t="n">
        <v>15.8</v>
      </c>
    </row>
    <row r="10" customFormat="false" ht="15" hidden="false" customHeight="false" outlineLevel="0" collapsed="false">
      <c r="A10" s="23" t="s">
        <v>42</v>
      </c>
      <c r="B10" s="24" t="n">
        <v>54</v>
      </c>
      <c r="C10" s="25" t="n">
        <v>0</v>
      </c>
      <c r="D10" s="25" t="n">
        <v>3.7</v>
      </c>
      <c r="E10" s="25" t="n">
        <v>0</v>
      </c>
      <c r="F10" s="25" t="n">
        <v>1.9</v>
      </c>
      <c r="G10" s="25" t="n">
        <v>0</v>
      </c>
      <c r="H10" s="25" t="n">
        <v>0</v>
      </c>
    </row>
    <row r="11" customFormat="false" ht="15" hidden="false" customHeight="false" outlineLevel="0" collapsed="false">
      <c r="A11" s="23" t="s">
        <v>43</v>
      </c>
      <c r="B11" s="24" t="n">
        <v>63</v>
      </c>
      <c r="C11" s="25" t="n">
        <v>6.3</v>
      </c>
      <c r="D11" s="25" t="n">
        <v>20.6</v>
      </c>
      <c r="E11" s="25" t="n">
        <v>1.6</v>
      </c>
      <c r="F11" s="25" t="n">
        <v>9.5</v>
      </c>
      <c r="G11" s="25" t="n">
        <v>7.9</v>
      </c>
      <c r="H11" s="25" t="n">
        <v>7.9</v>
      </c>
    </row>
    <row r="12" customFormat="false" ht="15" hidden="false" customHeight="false" outlineLevel="0" collapsed="false">
      <c r="A12" s="26" t="s">
        <v>44</v>
      </c>
      <c r="B12" s="26" t="n">
        <f aca="false">SUM(B4:B11)</f>
        <v>744</v>
      </c>
    </row>
    <row r="14" customFormat="false" ht="15" hidden="false" customHeight="false" outlineLevel="0" collapsed="false">
      <c r="A14" s="2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2026-10-11T04:25:46Z</dcterms:created>
  <dc:creator>openpyxl</dc:creator>
  <dc:description/>
  <dc:language>en-US</dc:language>
  <cp:lastModifiedBy/>
  <dcterms:modified xsi:type="dcterms:W3CDTF">2026-10-11T04:25:46Z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